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akas\OneDrive\Documents\GitHub\Finance-Intelligence-Hub\excel_model\"/>
    </mc:Choice>
  </mc:AlternateContent>
  <xr:revisionPtr revIDLastSave="0" documentId="13_ncr:1_{3693AC56-900E-48FD-9865-219697DF188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_Data" sheetId="1" r:id="rId1"/>
    <sheet name="DCF" sheetId="2" r:id="rId2"/>
    <sheet name="Scenarios" sheetId="3" r:id="rId3"/>
    <sheet name="Dashboard" sheetId="4" r:id="rId4"/>
    <sheet name="Pivot_Analysis" sheetId="5" r:id="rId5"/>
    <sheet name="Assumptions" sheetId="6" r:id="rId6"/>
    <sheet name="Model_Not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3" i="2" s="1"/>
  <c r="G5" i="3"/>
  <c r="H3" i="2" s="1"/>
  <c r="G6" i="3"/>
  <c r="I3" i="2" s="1"/>
  <c r="G7" i="3"/>
  <c r="J3" i="2" s="1"/>
  <c r="G8" i="3"/>
  <c r="F5" i="2" s="1"/>
  <c r="G9" i="3"/>
  <c r="G5" i="2" s="1"/>
  <c r="G10" i="3"/>
  <c r="H5" i="2" s="1"/>
  <c r="G11" i="3"/>
  <c r="I5" i="2" s="1"/>
  <c r="G12" i="3"/>
  <c r="J5" i="2" s="1"/>
  <c r="G13" i="3"/>
  <c r="M2" i="2" s="1"/>
  <c r="G14" i="3"/>
  <c r="M3" i="2" s="1"/>
  <c r="G3" i="3"/>
  <c r="F3" i="2" s="1"/>
  <c r="F2" i="2" s="1"/>
  <c r="J6" i="2"/>
  <c r="I6" i="2"/>
  <c r="H6" i="2"/>
  <c r="G6" i="2"/>
  <c r="F6" i="2"/>
  <c r="C5" i="2"/>
  <c r="D5" i="2"/>
  <c r="E5" i="2"/>
  <c r="B5" i="2"/>
  <c r="M12" i="2" l="1"/>
  <c r="M9" i="2"/>
  <c r="M8" i="2"/>
  <c r="M10" i="2"/>
  <c r="M11" i="2"/>
  <c r="G2" i="2"/>
  <c r="F4" i="2"/>
  <c r="F7" i="2" s="1"/>
  <c r="P8" i="2" l="1"/>
  <c r="G4" i="2"/>
  <c r="G7" i="2" s="1"/>
  <c r="P9" i="2" s="1"/>
  <c r="H2" i="2"/>
  <c r="H4" i="2" l="1"/>
  <c r="H7" i="2" s="1"/>
  <c r="P10" i="2" s="1"/>
  <c r="I2" i="2"/>
  <c r="J2" i="2" l="1"/>
  <c r="J4" i="2" s="1"/>
  <c r="J7" i="2" s="1"/>
  <c r="I4" i="2"/>
  <c r="I7" i="2" s="1"/>
  <c r="P11" i="2" s="1"/>
  <c r="P12" i="2" l="1"/>
  <c r="S2" i="2" s="1"/>
  <c r="P15" i="2"/>
  <c r="P16" i="2" s="1"/>
  <c r="P17" i="2" s="1"/>
  <c r="S3" i="2" s="1"/>
  <c r="P18" i="2" l="1"/>
  <c r="S4" i="2" s="1"/>
</calcChain>
</file>

<file path=xl/sharedStrings.xml><?xml version="1.0" encoding="utf-8"?>
<sst xmlns="http://schemas.openxmlformats.org/spreadsheetml/2006/main" count="97" uniqueCount="65">
  <si>
    <t>Metric</t>
  </si>
  <si>
    <t>2025A</t>
  </si>
  <si>
    <t>2026E</t>
  </si>
  <si>
    <t>2027E</t>
  </si>
  <si>
    <t>2028E</t>
  </si>
  <si>
    <t>2029E</t>
  </si>
  <si>
    <t>2030E</t>
  </si>
  <si>
    <t>Revenue</t>
  </si>
  <si>
    <t>EBITDA Margin</t>
  </si>
  <si>
    <t>EBITDA</t>
  </si>
  <si>
    <t>Tax Rate</t>
  </si>
  <si>
    <t>2022A</t>
  </si>
  <si>
    <t>2023A</t>
  </si>
  <si>
    <t>2024A</t>
  </si>
  <si>
    <t>FCF</t>
  </si>
  <si>
    <t>Growth %</t>
  </si>
  <si>
    <t>Assumption</t>
  </si>
  <si>
    <t>Value</t>
  </si>
  <si>
    <t>Source</t>
  </si>
  <si>
    <t>FY2027 Revenue</t>
  </si>
  <si>
    <t>391.66B</t>
  </si>
  <si>
    <t>FY2027 EPS</t>
  </si>
  <si>
    <t>WACC</t>
  </si>
  <si>
    <t>Terminal Growth</t>
  </si>
  <si>
    <t>-</t>
  </si>
  <si>
    <t>Input</t>
  </si>
  <si>
    <t>Year</t>
  </si>
  <si>
    <t>Discount Factor</t>
  </si>
  <si>
    <t>PV FCF</t>
  </si>
  <si>
    <t>Terminal FCF</t>
  </si>
  <si>
    <t>Terminal Value</t>
  </si>
  <si>
    <t>PV Terminal Value</t>
  </si>
  <si>
    <t>Enterprise Value</t>
  </si>
  <si>
    <t>PV Forecast FCF</t>
  </si>
  <si>
    <t>All figures in USD Millions</t>
  </si>
  <si>
    <t>FY2026 Growth</t>
  </si>
  <si>
    <t>FY2027 Growth</t>
  </si>
  <si>
    <t>FY2028 Growth</t>
  </si>
  <si>
    <t>FY2029 Growth</t>
  </si>
  <si>
    <t>FY2030 Growth</t>
  </si>
  <si>
    <t>Analyst Consensus Estimates</t>
  </si>
  <si>
    <t>Based on valuation practice and benchmarked against semiconductor industry estimates published by Aswath Damodaran</t>
  </si>
  <si>
    <t>Long-term GDP growth proxy commonly used in DCF models</t>
  </si>
  <si>
    <t>Approximation based on Nvidia's recent effective tax rate and forecast assumption</t>
  </si>
  <si>
    <t>Implied growth from FY2025 Revenue to FY2027 Analyst Consensus Revenue</t>
  </si>
  <si>
    <t>Growth normalization assumption</t>
  </si>
  <si>
    <t>Bear</t>
  </si>
  <si>
    <t>Base</t>
  </si>
  <si>
    <t>Bull</t>
  </si>
  <si>
    <t>Revenue Growth 2026</t>
  </si>
  <si>
    <t>Revenue Growth 2027</t>
  </si>
  <si>
    <t>Revenue Growth 2028</t>
  </si>
  <si>
    <t>Revenue Growth 2029</t>
  </si>
  <si>
    <t>Revenue Growth 2030</t>
  </si>
  <si>
    <t>Active Scenario</t>
  </si>
  <si>
    <t>Growth 2026</t>
  </si>
  <si>
    <t>Growth 2027</t>
  </si>
  <si>
    <t>Growth 2028</t>
  </si>
  <si>
    <t>Growth 2029</t>
  </si>
  <si>
    <t>Growth 2030</t>
  </si>
  <si>
    <t>EBITDA Margin 2026</t>
  </si>
  <si>
    <t>EBITDA Margin 2027</t>
  </si>
  <si>
    <t>EBITDA Margin 2028</t>
  </si>
  <si>
    <t>EBITDA Margin 2029</t>
  </si>
  <si>
    <t>EBITDA Margin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</si>
</sst>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D55F-9CA1-4DB8-80B8-00FC7E958868}">
  <dimension ref="A1:U18"/>
  <sheetViews>
    <sheetView tabSelected="1" zoomScale="90" zoomScaleNormal="111" workbookViewId="0">
      <selection activeCell="S3" sqref="S3"/>
    </sheetView>
  </sheetViews>
  <sheetFormatPr defaultRowHeight="14.4" x14ac:dyDescent="0.3"/>
  <cols>
    <col min="2" max="2" width="11.6640625" bestFit="1" customWidth="1"/>
    <col min="3" max="5" width="9" bestFit="1" customWidth="1"/>
    <col min="6" max="10" width="12.6640625" bestFit="1" customWidth="1"/>
    <col min="12" max="12" width="9" bestFit="1" customWidth="1"/>
    <col min="13" max="13" width="12.6640625" bestFit="1" customWidth="1"/>
    <col min="15" max="15" width="9" bestFit="1" customWidth="1"/>
    <col min="16" max="16" width="12.6640625" bestFit="1" customWidth="1"/>
    <col min="19" max="19" width="9.88671875" bestFit="1" customWidth="1"/>
  </cols>
  <sheetData>
    <row r="1" spans="1:2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L1" s="1" t="s">
        <v>25</v>
      </c>
      <c r="M1" s="1" t="s">
        <v>17</v>
      </c>
      <c r="R1" s="1" t="s">
        <v>0</v>
      </c>
      <c r="S1" s="1" t="s">
        <v>17</v>
      </c>
      <c r="U1" t="s">
        <v>34</v>
      </c>
    </row>
    <row r="2" spans="1:21" ht="43.2" x14ac:dyDescent="0.3">
      <c r="A2" s="2" t="s">
        <v>7</v>
      </c>
      <c r="B2" s="2">
        <v>26974</v>
      </c>
      <c r="C2" s="2">
        <v>60922</v>
      </c>
      <c r="D2" s="2">
        <v>130497</v>
      </c>
      <c r="E2" s="2">
        <v>215938</v>
      </c>
      <c r="F2" s="2">
        <f>E2*(1+F3)</f>
        <v>269922.5</v>
      </c>
      <c r="G2" s="2">
        <f>F2*(1+G3)</f>
        <v>323907</v>
      </c>
      <c r="H2" s="2">
        <f t="shared" ref="H2:J2" si="0">G2*(1+H3)</f>
        <v>372493.05</v>
      </c>
      <c r="I2" s="2">
        <f t="shared" si="0"/>
        <v>409742.35500000004</v>
      </c>
      <c r="J2" s="2">
        <f t="shared" si="0"/>
        <v>442521.74340000009</v>
      </c>
      <c r="L2" s="2" t="s">
        <v>22</v>
      </c>
      <c r="M2" s="3">
        <f>Scenarios!G13</f>
        <v>0.12</v>
      </c>
      <c r="R2" s="2" t="s">
        <v>33</v>
      </c>
      <c r="S2" s="5">
        <f>SUM(P8:P12)</f>
        <v>628803.61641212972</v>
      </c>
    </row>
    <row r="3" spans="1:21" ht="43.2" x14ac:dyDescent="0.3">
      <c r="A3" s="2" t="s">
        <v>15</v>
      </c>
      <c r="B3" s="2" t="s">
        <v>24</v>
      </c>
      <c r="C3" s="4">
        <v>1.2589999999999999</v>
      </c>
      <c r="D3" s="4">
        <v>1.1419999999999999</v>
      </c>
      <c r="E3" s="4">
        <v>0.65500000000000003</v>
      </c>
      <c r="F3" s="4">
        <f>Scenarios!G3</f>
        <v>0.25</v>
      </c>
      <c r="G3" s="4">
        <f>Scenarios!G4</f>
        <v>0.2</v>
      </c>
      <c r="H3" s="4">
        <f>Scenarios!G5</f>
        <v>0.15</v>
      </c>
      <c r="I3" s="4">
        <f>Scenarios!G6</f>
        <v>0.1</v>
      </c>
      <c r="J3" s="4">
        <f>Scenarios!G7</f>
        <v>0.08</v>
      </c>
      <c r="L3" s="2" t="s">
        <v>23</v>
      </c>
      <c r="M3" s="3">
        <f>Scenarios!G14</f>
        <v>0.02</v>
      </c>
      <c r="R3" s="2" t="s">
        <v>31</v>
      </c>
      <c r="S3" s="5">
        <f>P17</f>
        <v>1219134.5123576997</v>
      </c>
    </row>
    <row r="4" spans="1:21" ht="28.8" x14ac:dyDescent="0.3">
      <c r="A4" s="2" t="s">
        <v>9</v>
      </c>
      <c r="B4" s="2">
        <v>5986</v>
      </c>
      <c r="C4" s="2">
        <v>35583</v>
      </c>
      <c r="D4" s="2">
        <v>86137</v>
      </c>
      <c r="E4" s="2">
        <v>144552</v>
      </c>
      <c r="F4" s="2">
        <f>F2*F5</f>
        <v>161953.5</v>
      </c>
      <c r="G4" s="2">
        <f t="shared" ref="G4:J4" si="1">G2*G5</f>
        <v>191105.12999999998</v>
      </c>
      <c r="H4" s="2">
        <f t="shared" si="1"/>
        <v>216045.96899999998</v>
      </c>
      <c r="I4" s="2">
        <f t="shared" si="1"/>
        <v>233553.14235000001</v>
      </c>
      <c r="J4" s="2">
        <f t="shared" si="1"/>
        <v>247812.17630400008</v>
      </c>
      <c r="R4" s="2" t="s">
        <v>32</v>
      </c>
      <c r="S4" s="6">
        <f>P18</f>
        <v>1847938.1287698294</v>
      </c>
    </row>
    <row r="5" spans="1:21" ht="28.8" x14ac:dyDescent="0.3">
      <c r="A5" s="2" t="s">
        <v>8</v>
      </c>
      <c r="B5" s="4">
        <f>B4/B2</f>
        <v>0.22191740194261139</v>
      </c>
      <c r="C5" s="4">
        <f t="shared" ref="C5:E5" si="2">C4/C2</f>
        <v>0.58407471849249859</v>
      </c>
      <c r="D5" s="4">
        <f t="shared" si="2"/>
        <v>0.66006881384246385</v>
      </c>
      <c r="E5" s="4">
        <f t="shared" si="2"/>
        <v>0.66941436893923256</v>
      </c>
      <c r="F5" s="3">
        <f>Scenarios!G8</f>
        <v>0.6</v>
      </c>
      <c r="G5" s="3">
        <f>Scenarios!G9</f>
        <v>0.59</v>
      </c>
      <c r="H5" s="3">
        <f>Scenarios!G10</f>
        <v>0.57999999999999996</v>
      </c>
      <c r="I5" s="3">
        <f>Scenarios!G11</f>
        <v>0.56999999999999995</v>
      </c>
      <c r="J5" s="3">
        <f>Scenarios!G12</f>
        <v>0.56000000000000005</v>
      </c>
    </row>
    <row r="6" spans="1:21" x14ac:dyDescent="0.3">
      <c r="A6" s="2" t="s">
        <v>10</v>
      </c>
      <c r="B6" s="2" t="s">
        <v>24</v>
      </c>
      <c r="C6" s="2" t="s">
        <v>24</v>
      </c>
      <c r="D6" s="2" t="s">
        <v>24</v>
      </c>
      <c r="E6" s="2" t="s">
        <v>24</v>
      </c>
      <c r="F6" s="3">
        <f>Assumptions!B6</f>
        <v>0.15</v>
      </c>
      <c r="G6" s="3">
        <f>Assumptions!B6</f>
        <v>0.15</v>
      </c>
      <c r="H6" s="3">
        <f>Assumptions!B6</f>
        <v>0.15</v>
      </c>
      <c r="I6" s="3">
        <f>Assumptions!B6</f>
        <v>0.15</v>
      </c>
      <c r="J6" s="3">
        <f>Assumptions!B6</f>
        <v>0.15</v>
      </c>
    </row>
    <row r="7" spans="1:21" ht="28.8" x14ac:dyDescent="0.3">
      <c r="A7" s="2" t="s">
        <v>14</v>
      </c>
      <c r="B7" s="2" t="s">
        <v>24</v>
      </c>
      <c r="C7" s="2" t="s">
        <v>24</v>
      </c>
      <c r="D7" s="2" t="s">
        <v>24</v>
      </c>
      <c r="E7" s="2" t="s">
        <v>24</v>
      </c>
      <c r="F7" s="2">
        <f>F4*(1-F6)</f>
        <v>137660.47500000001</v>
      </c>
      <c r="G7" s="2">
        <f t="shared" ref="G7:J7" si="3">G4*(1-G6)</f>
        <v>162439.36049999998</v>
      </c>
      <c r="H7" s="2">
        <f t="shared" si="3"/>
        <v>183639.07364999998</v>
      </c>
      <c r="I7" s="2">
        <f t="shared" si="3"/>
        <v>198520.17099750001</v>
      </c>
      <c r="J7" s="2">
        <f t="shared" si="3"/>
        <v>210640.34985840006</v>
      </c>
      <c r="L7" s="1" t="s">
        <v>26</v>
      </c>
      <c r="M7" s="1" t="s">
        <v>27</v>
      </c>
      <c r="O7" s="1" t="s">
        <v>26</v>
      </c>
      <c r="P7" s="1" t="s">
        <v>28</v>
      </c>
    </row>
    <row r="8" spans="1:21" x14ac:dyDescent="0.3">
      <c r="L8" s="2">
        <v>2026</v>
      </c>
      <c r="M8" s="2">
        <f>1/(1+$M$2)^1</f>
        <v>0.89285714285714279</v>
      </c>
      <c r="O8" s="2">
        <v>2026</v>
      </c>
      <c r="P8" s="2">
        <f>F7*M8</f>
        <v>122911.13839285714</v>
      </c>
    </row>
    <row r="9" spans="1:21" x14ac:dyDescent="0.3">
      <c r="L9" s="2">
        <v>2027</v>
      </c>
      <c r="M9" s="2">
        <f>1/(1+$M$2)^2</f>
        <v>0.79719387755102034</v>
      </c>
      <c r="O9" s="2">
        <v>2027</v>
      </c>
      <c r="P9" s="2">
        <f>G7*M9</f>
        <v>129495.66366390303</v>
      </c>
    </row>
    <row r="10" spans="1:21" x14ac:dyDescent="0.3">
      <c r="L10" s="2">
        <v>2028</v>
      </c>
      <c r="M10" s="2">
        <f>1/(1+$M$2)^3</f>
        <v>0.71178024781341087</v>
      </c>
      <c r="O10" s="2">
        <v>2028</v>
      </c>
      <c r="P10" s="2">
        <f>H7*M10</f>
        <v>130710.66535082219</v>
      </c>
    </row>
    <row r="11" spans="1:21" x14ac:dyDescent="0.3">
      <c r="L11" s="2">
        <v>2029</v>
      </c>
      <c r="M11" s="2">
        <f>1/(1+$M$2)^4</f>
        <v>0.63551807840483121</v>
      </c>
      <c r="O11" s="2">
        <v>2029</v>
      </c>
      <c r="P11" s="2">
        <f>I7*M11</f>
        <v>126163.15759692971</v>
      </c>
    </row>
    <row r="12" spans="1:21" x14ac:dyDescent="0.3">
      <c r="L12" s="2">
        <v>2030</v>
      </c>
      <c r="M12" s="2">
        <f>1/(1+$M$2)^5</f>
        <v>0.56742685571859919</v>
      </c>
      <c r="O12" s="2">
        <v>2030</v>
      </c>
      <c r="P12" s="2">
        <f>J7*M12</f>
        <v>119522.99140761762</v>
      </c>
    </row>
    <row r="15" spans="1:21" ht="28.8" x14ac:dyDescent="0.3">
      <c r="O15" s="2" t="s">
        <v>29</v>
      </c>
      <c r="P15">
        <f>J7*(1+$M$3)</f>
        <v>214853.15685556806</v>
      </c>
    </row>
    <row r="16" spans="1:21" ht="28.8" x14ac:dyDescent="0.3">
      <c r="O16" s="2" t="s">
        <v>30</v>
      </c>
      <c r="P16">
        <f>P15/($M$2-$M$3)</f>
        <v>2148531.5685556806</v>
      </c>
    </row>
    <row r="17" spans="15:16" ht="43.2" x14ac:dyDescent="0.3">
      <c r="O17" s="2" t="s">
        <v>31</v>
      </c>
      <c r="P17" s="2">
        <f>P16*M12</f>
        <v>1219134.5123576997</v>
      </c>
    </row>
    <row r="18" spans="15:16" ht="28.8" x14ac:dyDescent="0.3">
      <c r="O18" s="2" t="s">
        <v>32</v>
      </c>
      <c r="P18" s="2">
        <f>SUM(P8:P12)+P17</f>
        <v>1847938.1287698294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C95B-25C9-4656-9771-629B87686625}">
  <dimension ref="A1:G14"/>
  <sheetViews>
    <sheetView zoomScale="84" workbookViewId="0">
      <selection activeCell="G2" sqref="G2"/>
    </sheetView>
  </sheetViews>
  <sheetFormatPr defaultRowHeight="14.4" x14ac:dyDescent="0.3"/>
  <sheetData>
    <row r="1" spans="1:7" ht="28.8" x14ac:dyDescent="0.3">
      <c r="A1" s="1" t="s">
        <v>16</v>
      </c>
      <c r="B1" s="1" t="s">
        <v>46</v>
      </c>
      <c r="C1" s="1" t="s">
        <v>47</v>
      </c>
      <c r="D1" s="1" t="s">
        <v>48</v>
      </c>
    </row>
    <row r="2" spans="1:7" ht="43.2" x14ac:dyDescent="0.3">
      <c r="A2" s="2" t="s">
        <v>49</v>
      </c>
      <c r="B2" s="3">
        <v>0.25</v>
      </c>
      <c r="C2" s="4">
        <v>0.34699999999999998</v>
      </c>
      <c r="D2" s="3">
        <v>0.45</v>
      </c>
      <c r="F2" t="s">
        <v>54</v>
      </c>
      <c r="G2" t="s">
        <v>46</v>
      </c>
    </row>
    <row r="3" spans="1:7" ht="43.2" x14ac:dyDescent="0.3">
      <c r="A3" s="2" t="s">
        <v>50</v>
      </c>
      <c r="B3" s="3">
        <v>0.2</v>
      </c>
      <c r="C3" s="4">
        <v>0.34699999999999998</v>
      </c>
      <c r="D3" s="3">
        <v>0.4</v>
      </c>
      <c r="F3" s="2" t="s">
        <v>55</v>
      </c>
      <c r="G3" s="4">
        <f>INDEX(B2:D2,1,MATCH($G$2,$B$1:$D$1,0))</f>
        <v>0.25</v>
      </c>
    </row>
    <row r="4" spans="1:7" ht="43.2" x14ac:dyDescent="0.3">
      <c r="A4" s="2" t="s">
        <v>51</v>
      </c>
      <c r="B4" s="3">
        <v>0.15</v>
      </c>
      <c r="C4" s="3">
        <v>0.25</v>
      </c>
      <c r="D4" s="3">
        <v>0.35</v>
      </c>
      <c r="F4" s="2" t="s">
        <v>56</v>
      </c>
      <c r="G4" s="4">
        <f>INDEX(B3:D3,1,MATCH($G$2,$B$1:$D$1,0))</f>
        <v>0.2</v>
      </c>
    </row>
    <row r="5" spans="1:7" ht="43.2" x14ac:dyDescent="0.3">
      <c r="A5" s="2" t="s">
        <v>52</v>
      </c>
      <c r="B5" s="3">
        <v>0.1</v>
      </c>
      <c r="C5" s="3">
        <v>0.18</v>
      </c>
      <c r="D5" s="3">
        <v>0.25</v>
      </c>
      <c r="F5" s="2" t="s">
        <v>57</v>
      </c>
      <c r="G5" s="4">
        <f>INDEX(B4:D4,1,MATCH($G$2,$B$1:$D$1,0))</f>
        <v>0.15</v>
      </c>
    </row>
    <row r="6" spans="1:7" ht="43.2" x14ac:dyDescent="0.3">
      <c r="A6" s="2" t="s">
        <v>53</v>
      </c>
      <c r="B6" s="3">
        <v>0.08</v>
      </c>
      <c r="C6" s="3">
        <v>0.12</v>
      </c>
      <c r="D6" s="3">
        <v>0.18</v>
      </c>
      <c r="F6" s="2" t="s">
        <v>58</v>
      </c>
      <c r="G6" s="4">
        <f>INDEX(B5:D5,1,MATCH($G$2,$B$1:$D$1,0))</f>
        <v>0.1</v>
      </c>
    </row>
    <row r="7" spans="1:7" ht="43.2" x14ac:dyDescent="0.3">
      <c r="A7" s="2" t="s">
        <v>60</v>
      </c>
      <c r="B7" s="3">
        <v>0.6</v>
      </c>
      <c r="C7" s="3">
        <v>0.66</v>
      </c>
      <c r="D7" s="3">
        <v>0.7</v>
      </c>
      <c r="F7" s="2" t="s">
        <v>59</v>
      </c>
      <c r="G7" s="4">
        <f>INDEX(B6:D6,1,MATCH($G$2,$B$1:$D$1,0))</f>
        <v>0.08</v>
      </c>
    </row>
    <row r="8" spans="1:7" ht="43.2" x14ac:dyDescent="0.3">
      <c r="A8" s="2" t="s">
        <v>61</v>
      </c>
      <c r="B8" s="3">
        <v>0.59</v>
      </c>
      <c r="C8" s="3">
        <v>0.66</v>
      </c>
      <c r="D8" s="3">
        <v>0.69</v>
      </c>
      <c r="F8" s="2" t="s">
        <v>60</v>
      </c>
      <c r="G8" s="4">
        <f>INDEX(B7:D7,1,MATCH($G$2,$B$1:$D$1,0))</f>
        <v>0.6</v>
      </c>
    </row>
    <row r="9" spans="1:7" ht="43.2" x14ac:dyDescent="0.3">
      <c r="A9" s="2" t="s">
        <v>62</v>
      </c>
      <c r="B9" s="3">
        <v>0.57999999999999996</v>
      </c>
      <c r="C9" s="3">
        <v>0.65</v>
      </c>
      <c r="D9" s="3">
        <v>0.68</v>
      </c>
      <c r="F9" s="2" t="s">
        <v>61</v>
      </c>
      <c r="G9" s="4">
        <f>INDEX(B8:D8,1,MATCH($G$2,$B$1:$D$1,0))</f>
        <v>0.59</v>
      </c>
    </row>
    <row r="10" spans="1:7" ht="43.2" x14ac:dyDescent="0.3">
      <c r="A10" s="2" t="s">
        <v>63</v>
      </c>
      <c r="B10" s="3">
        <v>0.56999999999999995</v>
      </c>
      <c r="C10" s="3">
        <v>0.64</v>
      </c>
      <c r="D10" s="3">
        <v>0.67</v>
      </c>
      <c r="F10" s="2" t="s">
        <v>62</v>
      </c>
      <c r="G10" s="4">
        <f>INDEX(B9:D9,1,MATCH($G$2,$B$1:$D$1,0))</f>
        <v>0.57999999999999996</v>
      </c>
    </row>
    <row r="11" spans="1:7" ht="43.2" x14ac:dyDescent="0.3">
      <c r="A11" s="2" t="s">
        <v>64</v>
      </c>
      <c r="B11" s="3">
        <v>0.56000000000000005</v>
      </c>
      <c r="C11" s="3">
        <v>0.63</v>
      </c>
      <c r="D11" s="3">
        <v>0.66</v>
      </c>
      <c r="F11" s="2" t="s">
        <v>63</v>
      </c>
      <c r="G11" s="4">
        <f>INDEX(B10:D10,1,MATCH($G$2,$B$1:$D$1,0))</f>
        <v>0.56999999999999995</v>
      </c>
    </row>
    <row r="12" spans="1:7" ht="43.2" x14ac:dyDescent="0.3">
      <c r="A12" s="2" t="s">
        <v>22</v>
      </c>
      <c r="B12" s="3">
        <v>0.12</v>
      </c>
      <c r="C12" s="3">
        <v>0.1</v>
      </c>
      <c r="D12" s="3">
        <v>0.08</v>
      </c>
      <c r="F12" s="2" t="s">
        <v>64</v>
      </c>
      <c r="G12" s="4">
        <f>INDEX(B11:D11,1,MATCH($G$2,$B$1:$D$1,0))</f>
        <v>0.56000000000000005</v>
      </c>
    </row>
    <row r="13" spans="1:7" ht="28.8" x14ac:dyDescent="0.3">
      <c r="A13" s="2" t="s">
        <v>23</v>
      </c>
      <c r="B13" s="3">
        <v>0.02</v>
      </c>
      <c r="C13" s="3">
        <v>0.03</v>
      </c>
      <c r="D13" s="3">
        <v>0.04</v>
      </c>
      <c r="F13" s="2" t="s">
        <v>22</v>
      </c>
      <c r="G13" s="4">
        <f>INDEX(B12:D12,1,MATCH($G$2,$B$1:$D$1,0))</f>
        <v>0.12</v>
      </c>
    </row>
    <row r="14" spans="1:7" ht="28.8" x14ac:dyDescent="0.3">
      <c r="F14" s="2" t="s">
        <v>23</v>
      </c>
      <c r="G14" s="4">
        <f>INDEX(B13:D13,1,MATCH($G$2,$B$1:$D$1,0))</f>
        <v>0.02</v>
      </c>
    </row>
  </sheetData>
  <dataValidations count="1">
    <dataValidation type="list" allowBlank="1" showInputMessage="1" showErrorMessage="1" sqref="G2" xr:uid="{B24FE295-679B-410E-A5A2-D991929486B4}">
      <formula1>"Bear,Base,Bull"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24EF-ABCF-4855-8B3A-F188E42D07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66E9-ED93-4DA7-A543-CE992C922A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CF88-7E9D-4491-AE59-2A2F71601AF8}">
  <dimension ref="A1:C11"/>
  <sheetViews>
    <sheetView topLeftCell="A9" zoomScale="77" workbookViewId="0">
      <selection activeCell="F1" sqref="F1"/>
    </sheetView>
  </sheetViews>
  <sheetFormatPr defaultRowHeight="14.4" x14ac:dyDescent="0.3"/>
  <cols>
    <col min="3" max="3" width="53.109375" customWidth="1"/>
  </cols>
  <sheetData>
    <row r="1" spans="1:3" ht="28.8" x14ac:dyDescent="0.3">
      <c r="A1" s="1" t="s">
        <v>16</v>
      </c>
      <c r="B1" s="1" t="s">
        <v>17</v>
      </c>
      <c r="C1" s="1" t="s">
        <v>18</v>
      </c>
    </row>
    <row r="2" spans="1:3" ht="57.6" x14ac:dyDescent="0.3">
      <c r="A2" s="2" t="s">
        <v>19</v>
      </c>
      <c r="B2" s="2" t="s">
        <v>20</v>
      </c>
      <c r="C2" s="2" t="s">
        <v>40</v>
      </c>
    </row>
    <row r="3" spans="1:3" ht="57.6" x14ac:dyDescent="0.3">
      <c r="A3" s="2" t="s">
        <v>21</v>
      </c>
      <c r="B3" s="2">
        <v>8.9600000000000009</v>
      </c>
      <c r="C3" s="2" t="s">
        <v>40</v>
      </c>
    </row>
    <row r="4" spans="1:3" ht="230.4" x14ac:dyDescent="0.3">
      <c r="A4" s="2" t="s">
        <v>22</v>
      </c>
      <c r="B4" s="3">
        <v>0.1</v>
      </c>
      <c r="C4" s="2" t="s">
        <v>41</v>
      </c>
    </row>
    <row r="5" spans="1:3" ht="115.2" x14ac:dyDescent="0.3">
      <c r="A5" s="2" t="s">
        <v>23</v>
      </c>
      <c r="B5" s="3">
        <v>0.03</v>
      </c>
      <c r="C5" s="2" t="s">
        <v>42</v>
      </c>
    </row>
    <row r="6" spans="1:3" ht="158.4" x14ac:dyDescent="0.3">
      <c r="A6" s="2" t="s">
        <v>10</v>
      </c>
      <c r="B6" s="3">
        <v>0.15</v>
      </c>
      <c r="C6" s="2" t="s">
        <v>43</v>
      </c>
    </row>
    <row r="7" spans="1:3" ht="158.4" x14ac:dyDescent="0.3">
      <c r="A7" s="2" t="s">
        <v>35</v>
      </c>
      <c r="B7" s="4">
        <v>0.34699999999999998</v>
      </c>
      <c r="C7" s="2" t="s">
        <v>44</v>
      </c>
    </row>
    <row r="8" spans="1:3" ht="158.4" x14ac:dyDescent="0.3">
      <c r="A8" s="2" t="s">
        <v>36</v>
      </c>
      <c r="B8" s="4">
        <v>0.34699999999999998</v>
      </c>
      <c r="C8" s="2" t="s">
        <v>44</v>
      </c>
    </row>
    <row r="9" spans="1:3" ht="72" x14ac:dyDescent="0.3">
      <c r="A9" s="2" t="s">
        <v>37</v>
      </c>
      <c r="B9" s="3">
        <v>0.25</v>
      </c>
      <c r="C9" s="2" t="s">
        <v>45</v>
      </c>
    </row>
    <row r="10" spans="1:3" ht="72" x14ac:dyDescent="0.3">
      <c r="A10" s="2" t="s">
        <v>38</v>
      </c>
      <c r="B10" s="3">
        <v>0.18</v>
      </c>
      <c r="C10" s="2" t="s">
        <v>45</v>
      </c>
    </row>
    <row r="11" spans="1:3" ht="72" x14ac:dyDescent="0.3">
      <c r="A11" s="2" t="s">
        <v>39</v>
      </c>
      <c r="B11" s="3">
        <v>0.12</v>
      </c>
      <c r="C11" s="2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4F63-5897-4B46-BB52-5F1F36831B8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DCF</vt:lpstr>
      <vt:lpstr>Scenarios</vt:lpstr>
      <vt:lpstr>Dashboard</vt:lpstr>
      <vt:lpstr>Pivot_Analysis</vt:lpstr>
      <vt:lpstr>Assumptions</vt:lpstr>
      <vt:lpstr>Model_Notes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Yakshesh Kharote</dc:creator>
  <cp:lastModifiedBy>Yakshesh Kharote</cp:lastModifiedBy>
  <dcterms:created xsi:type="dcterms:W3CDTF">2015-06-05T18:17:20Z</dcterms:created>
  <dcterms:modified xsi:type="dcterms:W3CDTF">2026-06-10T10:43:06Z</dcterms:modified>
</cp:coreProperties>
</file>